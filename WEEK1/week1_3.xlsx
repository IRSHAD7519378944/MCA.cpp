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AMU_MCA\WEEK1\"/>
    </mc:Choice>
  </mc:AlternateContent>
  <xr:revisionPtr revIDLastSave="0" documentId="13_ncr:1_{C3ED4702-9ED8-4FBF-A2D5-790B7C363A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1" l="1"/>
  <c r="H20" i="1"/>
  <c r="H23" i="1" s="1"/>
  <c r="F23" i="1"/>
  <c r="H18" i="1"/>
  <c r="F18" i="1"/>
  <c r="F24" i="1" l="1"/>
</calcChain>
</file>

<file path=xl/sharedStrings.xml><?xml version="1.0" encoding="utf-8"?>
<sst xmlns="http://schemas.openxmlformats.org/spreadsheetml/2006/main" count="24" uniqueCount="23">
  <si>
    <t>SALARY ADVICE FOR MARCH 2026</t>
  </si>
  <si>
    <t>EMPLOYEE</t>
  </si>
  <si>
    <t>T MARONGO</t>
  </si>
  <si>
    <t>STAFF NO</t>
  </si>
  <si>
    <t>DATE</t>
  </si>
  <si>
    <t>31 MARCH 20216</t>
  </si>
  <si>
    <t>NEXT PAY DATE</t>
  </si>
  <si>
    <t>BASIC SALARY p.a.</t>
  </si>
  <si>
    <t xml:space="preserve">INCOME </t>
  </si>
  <si>
    <t>AMOUNT</t>
  </si>
  <si>
    <t xml:space="preserve">DEDUCTIONS </t>
  </si>
  <si>
    <t>Pension @8%</t>
  </si>
  <si>
    <t>Housing Subsidy</t>
  </si>
  <si>
    <t>P.A.Y.E</t>
  </si>
  <si>
    <t>Vehical Allowance</t>
  </si>
  <si>
    <t>U.I.F</t>
  </si>
  <si>
    <t>Medical Aid</t>
  </si>
  <si>
    <t>Bond Repayment</t>
  </si>
  <si>
    <t>Total Deductions</t>
  </si>
  <si>
    <t>Gross Income</t>
  </si>
  <si>
    <t>Net Salary</t>
  </si>
  <si>
    <t>BASIC SALARY</t>
  </si>
  <si>
    <t xml:space="preserve">Name: MD IRSHAD NADAF / 25CAMSA158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</si>
</sst>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15" fontId="1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1" fillId="0" borderId="3" xfId="0" applyNumberFormat="1" applyFont="1" applyBorder="1"/>
    <xf numFmtId="164" fontId="1" fillId="0" borderId="4" xfId="0" applyNumberFormat="1" applyFont="1" applyBorder="1"/>
    <xf numFmtId="164" fontId="1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9:H28"/>
  <sheetViews>
    <sheetView tabSelected="1" topLeftCell="A7" workbookViewId="0">
      <selection activeCell="E26" sqref="E26:H28"/>
    </sheetView>
  </sheetViews>
  <sheetFormatPr defaultRowHeight="14.4" x14ac:dyDescent="0.3"/>
  <cols>
    <col min="5" max="5" width="20.44140625" customWidth="1"/>
    <col min="6" max="6" width="20.77734375" customWidth="1"/>
    <col min="7" max="7" width="18.6640625" customWidth="1"/>
    <col min="8" max="8" width="16" customWidth="1"/>
  </cols>
  <sheetData>
    <row r="9" spans="5:8" x14ac:dyDescent="0.3">
      <c r="E9" s="1"/>
    </row>
    <row r="10" spans="5:8" x14ac:dyDescent="0.3">
      <c r="E10" s="2"/>
      <c r="F10" s="2"/>
      <c r="G10" s="2"/>
      <c r="H10" s="2"/>
    </row>
    <row r="11" spans="5:8" ht="22.2" customHeight="1" x14ac:dyDescent="0.3">
      <c r="E11" s="20" t="s">
        <v>0</v>
      </c>
      <c r="F11" s="21"/>
      <c r="G11" s="21"/>
      <c r="H11" s="22"/>
    </row>
    <row r="12" spans="5:8" ht="27.6" customHeight="1" x14ac:dyDescent="0.3">
      <c r="E12" s="8" t="s">
        <v>1</v>
      </c>
      <c r="F12" s="8" t="s">
        <v>2</v>
      </c>
      <c r="G12" s="4"/>
      <c r="H12" s="4"/>
    </row>
    <row r="13" spans="5:8" x14ac:dyDescent="0.3">
      <c r="E13" s="5" t="s">
        <v>3</v>
      </c>
      <c r="F13" s="6">
        <v>4</v>
      </c>
      <c r="G13" s="5"/>
      <c r="H13" s="5"/>
    </row>
    <row r="14" spans="5:8" x14ac:dyDescent="0.3">
      <c r="E14" s="5" t="s">
        <v>4</v>
      </c>
      <c r="F14" s="6" t="s">
        <v>5</v>
      </c>
      <c r="G14" s="5"/>
      <c r="H14" s="5"/>
    </row>
    <row r="15" spans="5:8" x14ac:dyDescent="0.3">
      <c r="E15" s="5" t="s">
        <v>6</v>
      </c>
      <c r="F15" s="7">
        <v>42490</v>
      </c>
      <c r="G15" s="5"/>
      <c r="H15" s="5"/>
    </row>
    <row r="16" spans="5:8" x14ac:dyDescent="0.3">
      <c r="E16" s="5" t="s">
        <v>7</v>
      </c>
      <c r="F16" s="9">
        <v>31200</v>
      </c>
      <c r="G16" s="5"/>
      <c r="H16" s="5"/>
    </row>
    <row r="17" spans="5:8" ht="21.6" customHeight="1" x14ac:dyDescent="0.3">
      <c r="E17" s="8" t="s">
        <v>8</v>
      </c>
      <c r="F17" s="8" t="s">
        <v>9</v>
      </c>
      <c r="G17" s="8" t="s">
        <v>10</v>
      </c>
      <c r="H17" s="8" t="s">
        <v>9</v>
      </c>
    </row>
    <row r="18" spans="5:8" x14ac:dyDescent="0.3">
      <c r="E18" s="5" t="s">
        <v>21</v>
      </c>
      <c r="F18" s="9">
        <f>F16/12</f>
        <v>2600</v>
      </c>
      <c r="G18" s="5" t="s">
        <v>11</v>
      </c>
      <c r="H18" s="10">
        <f>F18*8%</f>
        <v>208</v>
      </c>
    </row>
    <row r="19" spans="5:8" x14ac:dyDescent="0.3">
      <c r="E19" s="5" t="s">
        <v>12</v>
      </c>
      <c r="F19" s="9">
        <f>6000/12</f>
        <v>500</v>
      </c>
      <c r="G19" s="5" t="s">
        <v>13</v>
      </c>
      <c r="H19" s="10">
        <v>636.83000000000004</v>
      </c>
    </row>
    <row r="20" spans="5:8" x14ac:dyDescent="0.3">
      <c r="E20" s="5" t="s">
        <v>14</v>
      </c>
      <c r="F20" s="9">
        <v>100</v>
      </c>
      <c r="G20" s="5" t="s">
        <v>15</v>
      </c>
      <c r="H20" s="10">
        <f>(F18+F19)*1%</f>
        <v>31</v>
      </c>
    </row>
    <row r="21" spans="5:8" x14ac:dyDescent="0.3">
      <c r="E21" s="5"/>
      <c r="F21" s="9"/>
      <c r="G21" s="5" t="s">
        <v>16</v>
      </c>
      <c r="H21" s="10">
        <v>70</v>
      </c>
    </row>
    <row r="22" spans="5:8" x14ac:dyDescent="0.3">
      <c r="E22" s="5"/>
      <c r="F22" s="9"/>
      <c r="G22" s="5" t="s">
        <v>17</v>
      </c>
      <c r="H22" s="10">
        <v>630</v>
      </c>
    </row>
    <row r="23" spans="5:8" ht="29.4" customHeight="1" x14ac:dyDescent="0.3">
      <c r="E23" s="6" t="s">
        <v>19</v>
      </c>
      <c r="F23" s="9">
        <f>F18+F19+F20</f>
        <v>3200</v>
      </c>
      <c r="G23" s="6" t="s">
        <v>18</v>
      </c>
      <c r="H23" s="9">
        <f>SUM(H18,H19,H20,H21,H22)</f>
        <v>1575.83</v>
      </c>
    </row>
    <row r="24" spans="5:8" ht="16.8" customHeight="1" x14ac:dyDescent="0.3">
      <c r="E24" s="3" t="s">
        <v>20</v>
      </c>
      <c r="F24" s="23">
        <f>F23-H23</f>
        <v>1624.17</v>
      </c>
      <c r="G24" s="24"/>
      <c r="H24" s="25"/>
    </row>
    <row r="26" spans="5:8" x14ac:dyDescent="0.3">
      <c r="E26" s="11" t="s">
        <v>22</v>
      </c>
      <c r="F26" s="12"/>
      <c r="G26" s="12"/>
      <c r="H26" s="13"/>
    </row>
    <row r="27" spans="5:8" x14ac:dyDescent="0.3">
      <c r="E27" s="14"/>
      <c r="F27" s="15"/>
      <c r="G27" s="15"/>
      <c r="H27" s="16"/>
    </row>
    <row r="28" spans="5:8" x14ac:dyDescent="0.3">
      <c r="E28" s="17"/>
      <c r="F28" s="18"/>
      <c r="G28" s="18"/>
      <c r="H28" s="19"/>
    </row>
  </sheetData>
  <mergeCells count="3">
    <mergeCell ref="E26:H28"/>
    <mergeCell ref="E11:H11"/>
    <mergeCell ref="F24:H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MD IRSHAD NADAF</cp:lastModifiedBy>
  <dcterms:created xsi:type="dcterms:W3CDTF">2015-06-05T18:17:20Z</dcterms:created>
  <dcterms:modified xsi:type="dcterms:W3CDTF">2025-08-26T02:49:03Z</dcterms:modified>
</cp:coreProperties>
</file>