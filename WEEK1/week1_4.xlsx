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MU_MCA\WEEK1\"/>
    </mc:Choice>
  </mc:AlternateContent>
  <xr:revisionPtr revIDLastSave="0" documentId="13_ncr:1_{B45F84E3-2538-47E6-BF75-EE57590BDB41}" xr6:coauthVersionLast="47" xr6:coauthVersionMax="47" xr10:uidLastSave="{00000000-0000-0000-0000-000000000000}"/>
  <bookViews>
    <workbookView xWindow="-120" yWindow="-120" windowWidth="20730" windowHeight="11160" activeTab="3" xr2:uid="{32065839-7347-4CA4-BD74-D06CBF6B012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E10" i="5"/>
  <c r="B10" i="5"/>
  <c r="E9" i="5"/>
  <c r="B9" i="5"/>
  <c r="E8" i="5"/>
  <c r="B8" i="5"/>
  <c r="E7" i="5"/>
  <c r="B7" i="5"/>
  <c r="C6" i="5"/>
  <c r="D6" i="5" s="1"/>
  <c r="F6" i="5" s="1"/>
  <c r="G6" i="5" s="1"/>
  <c r="C5" i="5"/>
  <c r="D5" i="5" s="1"/>
  <c r="F5" i="5" s="1"/>
  <c r="G5" i="5" s="1"/>
  <c r="C4" i="5"/>
  <c r="D4" i="5" s="1"/>
  <c r="F4" i="5" s="1"/>
  <c r="G4" i="5" s="1"/>
  <c r="C3" i="5"/>
  <c r="D3" i="5" s="1"/>
  <c r="F3" i="5" s="1"/>
  <c r="G3" i="5" s="1"/>
  <c r="C2" i="5"/>
  <c r="C9" i="5" s="1"/>
  <c r="E10" i="4"/>
  <c r="B10" i="4"/>
  <c r="E9" i="4"/>
  <c r="B9" i="4"/>
  <c r="E8" i="4"/>
  <c r="E7" i="4"/>
  <c r="B7" i="4"/>
  <c r="C3" i="4"/>
  <c r="D3" i="4" s="1"/>
  <c r="F3" i="4" s="1"/>
  <c r="G3" i="4" s="1"/>
  <c r="C4" i="4"/>
  <c r="D4" i="4" s="1"/>
  <c r="F4" i="4" s="1"/>
  <c r="G4" i="4" s="1"/>
  <c r="C5" i="4"/>
  <c r="D5" i="4" s="1"/>
  <c r="F5" i="4" s="1"/>
  <c r="G5" i="4" s="1"/>
  <c r="C6" i="4"/>
  <c r="D6" i="4" s="1"/>
  <c r="F6" i="4" s="1"/>
  <c r="G6" i="4" s="1"/>
  <c r="C2" i="4"/>
  <c r="D2" i="4" s="1"/>
  <c r="D10" i="4" s="1"/>
  <c r="B8" i="3"/>
  <c r="D10" i="3" s="1"/>
  <c r="B9" i="3"/>
  <c r="B5" i="3"/>
  <c r="B4" i="3"/>
  <c r="A1" i="2"/>
  <c r="E10" i="2"/>
  <c r="E9" i="2"/>
  <c r="E8" i="2"/>
  <c r="E7" i="2"/>
  <c r="E6" i="2"/>
  <c r="E5" i="2"/>
  <c r="E4" i="2"/>
  <c r="A9" i="1"/>
  <c r="E2" i="1"/>
  <c r="E3" i="1"/>
  <c r="E5" i="1"/>
  <c r="E8" i="1"/>
  <c r="E4" i="1"/>
  <c r="E7" i="1"/>
  <c r="E6" i="1"/>
  <c r="B13" i="3" l="1"/>
  <c r="D8" i="3"/>
  <c r="D13" i="3" s="1"/>
  <c r="B14" i="3" s="1"/>
  <c r="C10" i="4"/>
  <c r="D2" i="5"/>
  <c r="C8" i="5"/>
  <c r="C10" i="5"/>
  <c r="C7" i="5"/>
  <c r="C9" i="4"/>
  <c r="D7" i="4"/>
  <c r="D8" i="4"/>
  <c r="C8" i="4"/>
  <c r="D9" i="4"/>
  <c r="F2" i="4"/>
  <c r="F10" i="4" s="1"/>
  <c r="C7" i="4"/>
  <c r="D10" i="5" l="1"/>
  <c r="D8" i="5"/>
  <c r="F2" i="5"/>
  <c r="D9" i="5"/>
  <c r="D7" i="5"/>
  <c r="F7" i="4"/>
  <c r="G2" i="4"/>
  <c r="G10" i="4" s="1"/>
  <c r="F9" i="4"/>
  <c r="F8" i="4"/>
  <c r="F10" i="5" l="1"/>
  <c r="F8" i="5"/>
  <c r="G2" i="5"/>
  <c r="F9" i="5"/>
  <c r="F7" i="5"/>
  <c r="G7" i="4"/>
  <c r="G9" i="4"/>
  <c r="G8" i="4"/>
  <c r="G8" i="5" l="1"/>
  <c r="G9" i="5"/>
  <c r="G7" i="5"/>
  <c r="G10" i="5"/>
</calcChain>
</file>

<file path=xl/sharedStrings.xml><?xml version="1.0" encoding="utf-8"?>
<sst xmlns="http://schemas.openxmlformats.org/spreadsheetml/2006/main" count="79" uniqueCount="50">
  <si>
    <t>Roll no.</t>
  </si>
  <si>
    <t>Name</t>
  </si>
  <si>
    <t>Marks in Physics</t>
  </si>
  <si>
    <t>Marks in Chemistry</t>
  </si>
  <si>
    <t>Total Marks</t>
  </si>
  <si>
    <t>Sakshi</t>
  </si>
  <si>
    <t>Komal</t>
  </si>
  <si>
    <t>Ajmal</t>
  </si>
  <si>
    <t>Raghiv</t>
  </si>
  <si>
    <t>Syed</t>
  </si>
  <si>
    <t>Jameel</t>
  </si>
  <si>
    <t>Kishan</t>
  </si>
  <si>
    <t>DATE</t>
  </si>
  <si>
    <t xml:space="preserve"> MARKS OF CLASS 11TH</t>
  </si>
  <si>
    <t xml:space="preserve">SALARY ADVICE FOR MARCH 2016 </t>
  </si>
  <si>
    <t xml:space="preserve">EMPLOYEE </t>
  </si>
  <si>
    <t>T MARONGO</t>
  </si>
  <si>
    <t>STAFF NO</t>
  </si>
  <si>
    <t>NEXT PAY DATE</t>
  </si>
  <si>
    <t>BASIC SALARY p.a</t>
  </si>
  <si>
    <t>INCOME</t>
  </si>
  <si>
    <t>AMOUNT</t>
  </si>
  <si>
    <t>DEDUCTIONS</t>
  </si>
  <si>
    <t>Basic Salary</t>
  </si>
  <si>
    <t>Pension @8%</t>
  </si>
  <si>
    <t>Housing Subsidy</t>
  </si>
  <si>
    <t xml:space="preserve"> P.A.Y.E.</t>
  </si>
  <si>
    <t xml:space="preserve"> U.I.F</t>
  </si>
  <si>
    <t>Medical Aid</t>
  </si>
  <si>
    <t>Bond Repayment</t>
  </si>
  <si>
    <t>Total Deduction</t>
  </si>
  <si>
    <t>Gross Income</t>
  </si>
  <si>
    <t>Net Salary</t>
  </si>
  <si>
    <t>Vehicle Allowance p.m</t>
  </si>
  <si>
    <t>PRODUCT</t>
  </si>
  <si>
    <t>COST PRICE PER LITRE</t>
  </si>
  <si>
    <t>MARK UP PER ITEM 35%</t>
  </si>
  <si>
    <t>SELLING PRICE</t>
  </si>
  <si>
    <t>LITRES SOLD</t>
  </si>
  <si>
    <t>TOTAL INCOME</t>
  </si>
  <si>
    <t>PROFIT</t>
  </si>
  <si>
    <t>Cascade</t>
  </si>
  <si>
    <t>Quench</t>
  </si>
  <si>
    <t>Xtra</t>
  </si>
  <si>
    <t>Sum Splash</t>
  </si>
  <si>
    <t>House Brand</t>
  </si>
  <si>
    <t>TOTAL</t>
  </si>
  <si>
    <t>HIGHEST</t>
  </si>
  <si>
    <t>LOWEST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</si>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</sst>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left" vertical="center" indent="1"/>
    </xf>
    <xf numFmtId="14" fontId="5" fillId="0" borderId="7" xfId="0" applyNumberFormat="1" applyFont="1" applyBorder="1" applyAlignment="1">
      <alignment horizontal="left" vertical="center" indent="1"/>
    </xf>
    <xf numFmtId="164" fontId="5" fillId="0" borderId="7" xfId="0" applyNumberFormat="1" applyFont="1" applyBorder="1" applyAlignment="1">
      <alignment horizontal="left" vertical="center" inden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 COST PRICE PER LITRE</a:t>
            </a:r>
          </a:p>
          <a:p>
            <a:pPr>
              <a:defRPr b="1"/>
            </a:pP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44-421B-82B2-8F3D369B6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44-421B-82B2-8F3D369B6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44-421B-82B2-8F3D369B6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44-421B-82B2-8F3D369B6E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44-421B-82B2-8F3D369B6E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9-4500-9E6A-80EE6E2572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444-421B-82B2-8F3D369B6E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444-421B-82B2-8F3D369B6E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444-421B-82B2-8F3D369B6ED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Sheet4!$A$2:$A$10</c:f>
              <c:strCache>
                <c:ptCount val="9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Sum Splash</c:v>
                </c:pt>
                <c:pt idx="4">
                  <c:v>House Brand</c:v>
                </c:pt>
                <c:pt idx="5">
                  <c:v>TOTAL</c:v>
                </c:pt>
                <c:pt idx="6">
                  <c:v>HIGHEST</c:v>
                </c:pt>
                <c:pt idx="7">
                  <c:v>LOWEST</c:v>
                </c:pt>
                <c:pt idx="8">
                  <c:v>AVERAGE</c:v>
                </c:pt>
              </c:strCache>
            </c:strRef>
          </c:cat>
          <c:val>
            <c:numRef>
              <c:f>Sheet4!$B$2:$B$10</c:f>
              <c:numCache>
                <c:formatCode>"₹"\ #,##0.00</c:formatCode>
                <c:ptCount val="9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  <c:pt idx="5">
                  <c:v>14.65</c:v>
                </c:pt>
                <c:pt idx="6">
                  <c:v>4.25</c:v>
                </c:pt>
                <c:pt idx="7">
                  <c:v>1.5</c:v>
                </c:pt>
                <c:pt idx="8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9-4500-9E6A-80EE6E257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152400</xdr:rowOff>
    </xdr:from>
    <xdr:to>
      <xdr:col>7</xdr:col>
      <xdr:colOff>7620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FC981F-91C9-4E05-86BE-87029E835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CC21-BF67-4448-9E1D-F3A03F7C80E6}">
  <dimension ref="A1:E16"/>
  <sheetViews>
    <sheetView workbookViewId="0">
      <selection activeCell="E6" sqref="E6:E8"/>
    </sheetView>
  </sheetViews>
  <sheetFormatPr defaultRowHeight="15" x14ac:dyDescent="0.25"/>
  <cols>
    <col min="4" max="4" width="12.28515625" customWidth="1"/>
    <col min="5" max="5" width="10.28515625" customWidth="1"/>
  </cols>
  <sheetData>
    <row r="1" spans="1:5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1</v>
      </c>
      <c r="B2" s="4" t="s">
        <v>5</v>
      </c>
      <c r="C2" s="4">
        <v>67</v>
      </c>
      <c r="D2" s="4">
        <v>89</v>
      </c>
      <c r="E2" s="4">
        <f t="shared" ref="E2:E8" si="0">SUM(C2:D2)</f>
        <v>156</v>
      </c>
    </row>
    <row r="3" spans="1:5" ht="15.75" thickBot="1" x14ac:dyDescent="0.3">
      <c r="A3" s="3">
        <v>2</v>
      </c>
      <c r="B3" s="4" t="s">
        <v>6</v>
      </c>
      <c r="C3" s="4">
        <v>33</v>
      </c>
      <c r="D3" s="4">
        <v>45</v>
      </c>
      <c r="E3" s="4">
        <f t="shared" si="0"/>
        <v>78</v>
      </c>
    </row>
    <row r="4" spans="1:5" ht="15.75" thickBot="1" x14ac:dyDescent="0.3">
      <c r="A4" s="3">
        <v>3</v>
      </c>
      <c r="B4" s="4" t="s">
        <v>7</v>
      </c>
      <c r="C4" s="4">
        <v>56</v>
      </c>
      <c r="D4" s="4">
        <v>67</v>
      </c>
      <c r="E4" s="4">
        <f t="shared" si="0"/>
        <v>123</v>
      </c>
    </row>
    <row r="5" spans="1:5" ht="15.75" thickBot="1" x14ac:dyDescent="0.3">
      <c r="A5" s="3">
        <v>4</v>
      </c>
      <c r="B5" s="4" t="s">
        <v>8</v>
      </c>
      <c r="C5" s="4">
        <v>77</v>
      </c>
      <c r="D5" s="4">
        <v>78</v>
      </c>
      <c r="E5" s="4">
        <f t="shared" si="0"/>
        <v>155</v>
      </c>
    </row>
    <row r="6" spans="1:5" ht="15.75" thickBot="1" x14ac:dyDescent="0.3">
      <c r="A6" s="3">
        <v>5</v>
      </c>
      <c r="B6" s="4" t="s">
        <v>9</v>
      </c>
      <c r="C6" s="4">
        <v>78</v>
      </c>
      <c r="D6" s="4">
        <v>90</v>
      </c>
      <c r="E6" s="4">
        <f t="shared" si="0"/>
        <v>168</v>
      </c>
    </row>
    <row r="7" spans="1:5" ht="15.75" thickBot="1" x14ac:dyDescent="0.3">
      <c r="A7" s="3">
        <v>6</v>
      </c>
      <c r="B7" s="4" t="s">
        <v>10</v>
      </c>
      <c r="C7" s="4">
        <v>89</v>
      </c>
      <c r="D7" s="4">
        <v>54</v>
      </c>
      <c r="E7" s="4">
        <f t="shared" si="0"/>
        <v>143</v>
      </c>
    </row>
    <row r="8" spans="1:5" ht="15.75" thickBot="1" x14ac:dyDescent="0.3">
      <c r="A8" s="5">
        <v>7</v>
      </c>
      <c r="B8" s="7" t="s">
        <v>11</v>
      </c>
      <c r="C8" s="7">
        <v>99</v>
      </c>
      <c r="D8" s="7">
        <v>67</v>
      </c>
      <c r="E8" s="6">
        <f t="shared" si="0"/>
        <v>166</v>
      </c>
    </row>
    <row r="9" spans="1:5" ht="19.5" thickBot="1" x14ac:dyDescent="0.35">
      <c r="A9" s="25">
        <f>DATE(2025,7,30)</f>
        <v>45868</v>
      </c>
      <c r="B9" s="26"/>
      <c r="C9" s="26"/>
      <c r="D9" s="26"/>
      <c r="E9" s="27"/>
    </row>
    <row r="16" spans="1:5" x14ac:dyDescent="0.25">
      <c r="D16" s="8"/>
    </row>
  </sheetData>
  <sortState xmlns:xlrd2="http://schemas.microsoft.com/office/spreadsheetml/2017/richdata2" ref="E2:E8">
    <sortCondition ref="E2"/>
  </sortState>
  <mergeCells count="1"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17AC-AE1E-47A2-8196-4965D43C17F4}">
  <dimension ref="A1:E10"/>
  <sheetViews>
    <sheetView workbookViewId="0">
      <selection activeCell="D3" sqref="D3"/>
    </sheetView>
  </sheetViews>
  <sheetFormatPr defaultRowHeight="15" x14ac:dyDescent="0.25"/>
  <cols>
    <col min="2" max="2" width="13.140625" customWidth="1"/>
    <col min="3" max="3" width="13.7109375" customWidth="1"/>
    <col min="4" max="4" width="14.5703125" customWidth="1"/>
    <col min="5" max="5" width="12.5703125" customWidth="1"/>
  </cols>
  <sheetData>
    <row r="1" spans="1:5" ht="18.75" x14ac:dyDescent="0.3">
      <c r="A1" s="28">
        <f>DATE(2025,7,30)</f>
        <v>45868</v>
      </c>
      <c r="B1" s="29"/>
      <c r="C1" s="29"/>
      <c r="D1" s="29"/>
      <c r="E1" s="29"/>
    </row>
    <row r="2" spans="1:5" ht="18.75" x14ac:dyDescent="0.3">
      <c r="A2" s="30" t="s">
        <v>13</v>
      </c>
      <c r="B2" s="31"/>
      <c r="C2" s="31"/>
      <c r="D2" s="31"/>
      <c r="E2" s="31"/>
    </row>
    <row r="3" spans="1:5" ht="37.5" x14ac:dyDescent="0.25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</row>
    <row r="4" spans="1:5" x14ac:dyDescent="0.25">
      <c r="A4" s="20">
        <v>1</v>
      </c>
      <c r="B4" s="20" t="s">
        <v>5</v>
      </c>
      <c r="C4" s="20">
        <v>67</v>
      </c>
      <c r="D4" s="20">
        <v>89</v>
      </c>
      <c r="E4" s="20">
        <f t="shared" ref="E4:E10" si="0">SUM(C4:D4)</f>
        <v>156</v>
      </c>
    </row>
    <row r="5" spans="1:5" x14ac:dyDescent="0.25">
      <c r="A5" s="20">
        <v>2</v>
      </c>
      <c r="B5" s="20" t="s">
        <v>6</v>
      </c>
      <c r="C5" s="20">
        <v>33</v>
      </c>
      <c r="D5" s="20">
        <v>45</v>
      </c>
      <c r="E5" s="20">
        <f t="shared" si="0"/>
        <v>78</v>
      </c>
    </row>
    <row r="6" spans="1:5" x14ac:dyDescent="0.25">
      <c r="A6" s="20">
        <v>3</v>
      </c>
      <c r="B6" s="20" t="s">
        <v>7</v>
      </c>
      <c r="C6" s="20">
        <v>56</v>
      </c>
      <c r="D6" s="20">
        <v>67</v>
      </c>
      <c r="E6" s="20">
        <f t="shared" si="0"/>
        <v>123</v>
      </c>
    </row>
    <row r="7" spans="1:5" x14ac:dyDescent="0.25">
      <c r="A7" s="20">
        <v>4</v>
      </c>
      <c r="B7" s="20" t="s">
        <v>8</v>
      </c>
      <c r="C7" s="20">
        <v>77</v>
      </c>
      <c r="D7" s="20">
        <v>78</v>
      </c>
      <c r="E7" s="20">
        <f t="shared" si="0"/>
        <v>155</v>
      </c>
    </row>
    <row r="8" spans="1:5" x14ac:dyDescent="0.25">
      <c r="A8" s="20">
        <v>5</v>
      </c>
      <c r="B8" s="20" t="s">
        <v>9</v>
      </c>
      <c r="C8" s="20">
        <v>78</v>
      </c>
      <c r="D8" s="20">
        <v>90</v>
      </c>
      <c r="E8" s="20">
        <f t="shared" si="0"/>
        <v>168</v>
      </c>
    </row>
    <row r="9" spans="1:5" x14ac:dyDescent="0.25">
      <c r="A9" s="20">
        <v>6</v>
      </c>
      <c r="B9" s="20" t="s">
        <v>10</v>
      </c>
      <c r="C9" s="20">
        <v>89</v>
      </c>
      <c r="D9" s="20">
        <v>54</v>
      </c>
      <c r="E9" s="20">
        <f t="shared" si="0"/>
        <v>143</v>
      </c>
    </row>
    <row r="10" spans="1:5" x14ac:dyDescent="0.25">
      <c r="A10" s="21">
        <v>7</v>
      </c>
      <c r="B10" s="21" t="s">
        <v>11</v>
      </c>
      <c r="C10" s="21">
        <v>99</v>
      </c>
      <c r="D10" s="21">
        <v>67</v>
      </c>
      <c r="E10" s="20">
        <f t="shared" si="0"/>
        <v>166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DF86-32FE-4C49-9A8E-DD3ED32829E4}">
  <dimension ref="A1:H14"/>
  <sheetViews>
    <sheetView view="pageLayout" topLeftCell="A5" zoomScaleNormal="100" workbookViewId="0">
      <selection activeCell="H1" sqref="H1"/>
    </sheetView>
  </sheetViews>
  <sheetFormatPr defaultRowHeight="15" x14ac:dyDescent="0.25"/>
  <cols>
    <col min="1" max="1" width="23.7109375" customWidth="1"/>
    <col min="2" max="2" width="17.140625" customWidth="1"/>
    <col min="3" max="3" width="18.7109375" customWidth="1"/>
    <col min="4" max="4" width="14.7109375" customWidth="1"/>
  </cols>
  <sheetData>
    <row r="1" spans="1:8" ht="27" customHeight="1" x14ac:dyDescent="0.3">
      <c r="A1" s="29" t="s">
        <v>14</v>
      </c>
      <c r="B1" s="32"/>
      <c r="C1" s="32"/>
      <c r="D1" s="32"/>
      <c r="H1" s="12"/>
    </row>
    <row r="2" spans="1:8" ht="22.15" customHeight="1" x14ac:dyDescent="0.25">
      <c r="A2" s="9" t="s">
        <v>15</v>
      </c>
      <c r="B2" s="9" t="s">
        <v>16</v>
      </c>
      <c r="C2" s="9"/>
      <c r="D2" s="9"/>
    </row>
    <row r="3" spans="1:8" ht="21" customHeight="1" x14ac:dyDescent="0.25">
      <c r="A3" s="9" t="s">
        <v>17</v>
      </c>
      <c r="B3" s="9">
        <v>4</v>
      </c>
      <c r="C3" s="9"/>
      <c r="D3" s="9"/>
    </row>
    <row r="4" spans="1:8" ht="33" customHeight="1" x14ac:dyDescent="0.25">
      <c r="A4" s="9" t="s">
        <v>12</v>
      </c>
      <c r="B4" s="10">
        <f>DATE(2016,3,31)</f>
        <v>42460</v>
      </c>
      <c r="C4" s="9"/>
      <c r="D4" s="9"/>
    </row>
    <row r="5" spans="1:8" ht="36" customHeight="1" x14ac:dyDescent="0.25">
      <c r="A5" s="9" t="s">
        <v>18</v>
      </c>
      <c r="B5" s="10">
        <f>DATE(2016,4,30)</f>
        <v>42490</v>
      </c>
      <c r="C5" s="9"/>
      <c r="D5" s="9"/>
    </row>
    <row r="6" spans="1:8" ht="33" customHeight="1" x14ac:dyDescent="0.25">
      <c r="A6" s="9" t="s">
        <v>19</v>
      </c>
      <c r="B6" s="11">
        <v>31200</v>
      </c>
      <c r="C6" s="9"/>
      <c r="D6" s="9"/>
    </row>
    <row r="7" spans="1:8" ht="15.75" x14ac:dyDescent="0.25">
      <c r="A7" s="9" t="s">
        <v>20</v>
      </c>
      <c r="B7" s="9" t="s">
        <v>21</v>
      </c>
      <c r="C7" s="9" t="s">
        <v>22</v>
      </c>
      <c r="D7" s="9" t="s">
        <v>21</v>
      </c>
    </row>
    <row r="8" spans="1:8" ht="15.75" x14ac:dyDescent="0.25">
      <c r="A8" s="9" t="s">
        <v>23</v>
      </c>
      <c r="B8" s="11">
        <f>B6/12</f>
        <v>2600</v>
      </c>
      <c r="C8" s="11" t="s">
        <v>24</v>
      </c>
      <c r="D8" s="11">
        <f>B8*8/100</f>
        <v>208</v>
      </c>
    </row>
    <row r="9" spans="1:8" ht="33" customHeight="1" x14ac:dyDescent="0.25">
      <c r="A9" s="9" t="s">
        <v>25</v>
      </c>
      <c r="B9" s="11">
        <f>6000/12</f>
        <v>500</v>
      </c>
      <c r="C9" s="11" t="s">
        <v>26</v>
      </c>
      <c r="D9" s="11">
        <v>636.83000000000004</v>
      </c>
    </row>
    <row r="10" spans="1:8" ht="33" customHeight="1" x14ac:dyDescent="0.25">
      <c r="A10" s="9" t="s">
        <v>33</v>
      </c>
      <c r="B10" s="11">
        <v>100</v>
      </c>
      <c r="C10" s="11" t="s">
        <v>27</v>
      </c>
      <c r="D10" s="11">
        <f>B8*1/100+B9</f>
        <v>526</v>
      </c>
    </row>
    <row r="11" spans="1:8" ht="22.15" customHeight="1" x14ac:dyDescent="0.25">
      <c r="A11" s="9"/>
      <c r="B11" s="11"/>
      <c r="C11" s="11" t="s">
        <v>28</v>
      </c>
      <c r="D11" s="11">
        <v>70</v>
      </c>
    </row>
    <row r="12" spans="1:8" ht="28.15" customHeight="1" x14ac:dyDescent="0.25">
      <c r="A12" s="9"/>
      <c r="B12" s="11"/>
      <c r="C12" s="11" t="s">
        <v>29</v>
      </c>
      <c r="D12" s="11">
        <v>630</v>
      </c>
    </row>
    <row r="13" spans="1:8" ht="36" customHeight="1" x14ac:dyDescent="0.25">
      <c r="A13" s="9" t="s">
        <v>31</v>
      </c>
      <c r="B13" s="11">
        <f>SUM(B8:B10)</f>
        <v>3200</v>
      </c>
      <c r="C13" s="11" t="s">
        <v>30</v>
      </c>
      <c r="D13" s="11">
        <f>SUM(D8:D12)</f>
        <v>2070.83</v>
      </c>
    </row>
    <row r="14" spans="1:8" ht="15.75" x14ac:dyDescent="0.25">
      <c r="A14" s="9" t="s">
        <v>32</v>
      </c>
      <c r="B14" s="33">
        <f>B13-D13</f>
        <v>1129.17</v>
      </c>
      <c r="C14" s="34"/>
      <c r="D14" s="35"/>
    </row>
  </sheetData>
  <mergeCells count="2">
    <mergeCell ref="A1:D1"/>
    <mergeCell ref="B14:D14"/>
  </mergeCells>
  <pageMargins left="0.7" right="0.7" top="0.75" bottom="0.75" header="0.3" footer="0.3"/>
  <pageSetup orientation="portrait" r:id="rId1"/>
  <headerFooter>
    <oddFooter>&amp;C&amp;"Times New Roman,Regular"QAUSAIN AHMAD,  CAMS1P01, MCA,  3#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DCAC-46BD-4C84-AEA0-86F7605F92A9}">
  <dimension ref="A1:G10"/>
  <sheetViews>
    <sheetView tabSelected="1" workbookViewId="0">
      <selection activeCell="L3" sqref="L3"/>
    </sheetView>
  </sheetViews>
  <sheetFormatPr defaultRowHeight="15" x14ac:dyDescent="0.25"/>
  <cols>
    <col min="1" max="1" width="12.85546875" customWidth="1"/>
    <col min="2" max="2" width="11.140625" customWidth="1"/>
    <col min="3" max="3" width="12.140625" customWidth="1"/>
    <col min="4" max="5" width="11.85546875" customWidth="1"/>
    <col min="6" max="6" width="12" customWidth="1"/>
    <col min="7" max="7" width="13.7109375" customWidth="1"/>
  </cols>
  <sheetData>
    <row r="1" spans="1:7" ht="63" x14ac:dyDescent="0.25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</row>
    <row r="2" spans="1:7" x14ac:dyDescent="0.25">
      <c r="A2" s="16" t="s">
        <v>41</v>
      </c>
      <c r="B2" s="17">
        <v>3.75</v>
      </c>
      <c r="C2" s="17">
        <f>B2*35/100</f>
        <v>1.3125</v>
      </c>
      <c r="D2" s="17">
        <f>SUM(B2:C2)</f>
        <v>5.0625</v>
      </c>
      <c r="E2" s="16">
        <v>234</v>
      </c>
      <c r="F2" s="18">
        <f>D2*E2</f>
        <v>1184.625</v>
      </c>
      <c r="G2" s="18">
        <f>F2-B2*E2</f>
        <v>307.125</v>
      </c>
    </row>
    <row r="3" spans="1:7" x14ac:dyDescent="0.25">
      <c r="A3" s="16" t="s">
        <v>42</v>
      </c>
      <c r="B3" s="17">
        <v>3.65</v>
      </c>
      <c r="C3" s="17">
        <f t="shared" ref="C3:C6" si="0">B3*35/100</f>
        <v>1.2775000000000001</v>
      </c>
      <c r="D3" s="17">
        <f t="shared" ref="D3:D6" si="1">SUM(B3:C3)</f>
        <v>4.9275000000000002</v>
      </c>
      <c r="E3" s="16">
        <v>345</v>
      </c>
      <c r="F3" s="18">
        <f t="shared" ref="F3:F6" si="2">D3*E3</f>
        <v>1699.9875000000002</v>
      </c>
      <c r="G3" s="18">
        <f t="shared" ref="G3:G6" si="3">F3-B3*E3</f>
        <v>440.73750000000018</v>
      </c>
    </row>
    <row r="4" spans="1:7" x14ac:dyDescent="0.25">
      <c r="A4" s="16" t="s">
        <v>43</v>
      </c>
      <c r="B4" s="17">
        <v>4.25</v>
      </c>
      <c r="C4" s="17">
        <f t="shared" si="0"/>
        <v>1.4875</v>
      </c>
      <c r="D4" s="17">
        <f t="shared" si="1"/>
        <v>5.7374999999999998</v>
      </c>
      <c r="E4" s="16">
        <v>456</v>
      </c>
      <c r="F4" s="18">
        <f t="shared" si="2"/>
        <v>2616.2999999999997</v>
      </c>
      <c r="G4" s="18">
        <f t="shared" si="3"/>
        <v>678.29999999999973</v>
      </c>
    </row>
    <row r="5" spans="1:7" ht="27" customHeight="1" x14ac:dyDescent="0.25">
      <c r="A5" s="16" t="s">
        <v>44</v>
      </c>
      <c r="B5" s="17">
        <v>1.5</v>
      </c>
      <c r="C5" s="17">
        <f t="shared" si="0"/>
        <v>0.52500000000000002</v>
      </c>
      <c r="D5" s="17">
        <f t="shared" si="1"/>
        <v>2.0249999999999999</v>
      </c>
      <c r="E5" s="16">
        <v>123</v>
      </c>
      <c r="F5" s="18">
        <f t="shared" si="2"/>
        <v>249.07499999999999</v>
      </c>
      <c r="G5" s="18">
        <f t="shared" si="3"/>
        <v>64.574999999999989</v>
      </c>
    </row>
    <row r="6" spans="1:7" ht="31.9" customHeight="1" x14ac:dyDescent="0.25">
      <c r="A6" s="16" t="s">
        <v>45</v>
      </c>
      <c r="B6" s="17">
        <v>1.5</v>
      </c>
      <c r="C6" s="17">
        <f t="shared" si="0"/>
        <v>0.52500000000000002</v>
      </c>
      <c r="D6" s="17">
        <f t="shared" si="1"/>
        <v>2.0249999999999999</v>
      </c>
      <c r="E6" s="16">
        <v>245</v>
      </c>
      <c r="F6" s="18">
        <f t="shared" si="2"/>
        <v>496.125</v>
      </c>
      <c r="G6" s="18">
        <f t="shared" si="3"/>
        <v>128.625</v>
      </c>
    </row>
    <row r="7" spans="1:7" ht="16.149999999999999" customHeight="1" x14ac:dyDescent="0.25">
      <c r="A7" s="13" t="s">
        <v>46</v>
      </c>
      <c r="B7" s="14">
        <f>SUM(B2:B6)</f>
        <v>14.65</v>
      </c>
      <c r="C7" s="14">
        <f t="shared" ref="C7:G7" si="4">SUM(C2:C6)</f>
        <v>5.1275000000000004</v>
      </c>
      <c r="D7" s="14">
        <f t="shared" si="4"/>
        <v>19.777499999999996</v>
      </c>
      <c r="E7" s="13">
        <f t="shared" si="4"/>
        <v>1403</v>
      </c>
      <c r="F7" s="14">
        <f t="shared" si="4"/>
        <v>6246.1125000000002</v>
      </c>
      <c r="G7" s="14">
        <f t="shared" si="4"/>
        <v>1619.3625</v>
      </c>
    </row>
    <row r="8" spans="1:7" ht="25.9" customHeight="1" x14ac:dyDescent="0.25">
      <c r="A8" s="13" t="s">
        <v>47</v>
      </c>
      <c r="B8" s="14">
        <f>MAX(B2:B6)</f>
        <v>4.25</v>
      </c>
      <c r="C8" s="13">
        <f t="shared" ref="C8:G8" si="5">LARGE(C2:C6,1)</f>
        <v>1.4875</v>
      </c>
      <c r="D8" s="13">
        <f t="shared" si="5"/>
        <v>5.7374999999999998</v>
      </c>
      <c r="E8" s="13">
        <f t="shared" si="5"/>
        <v>456</v>
      </c>
      <c r="F8" s="13">
        <f t="shared" si="5"/>
        <v>2616.2999999999997</v>
      </c>
      <c r="G8" s="13">
        <f t="shared" si="5"/>
        <v>678.29999999999973</v>
      </c>
    </row>
    <row r="9" spans="1:7" ht="22.15" customHeight="1" x14ac:dyDescent="0.25">
      <c r="A9" s="13" t="s">
        <v>48</v>
      </c>
      <c r="B9" s="14">
        <f>MIN(B2:B6)</f>
        <v>1.5</v>
      </c>
      <c r="C9" s="14">
        <f t="shared" ref="C9:G9" si="6">MIN(C2:C6)</f>
        <v>0.52500000000000002</v>
      </c>
      <c r="D9" s="14">
        <f t="shared" si="6"/>
        <v>2.0249999999999999</v>
      </c>
      <c r="E9" s="13">
        <f t="shared" si="6"/>
        <v>123</v>
      </c>
      <c r="F9" s="14">
        <f t="shared" si="6"/>
        <v>249.07499999999999</v>
      </c>
      <c r="G9" s="14">
        <f t="shared" si="6"/>
        <v>64.574999999999989</v>
      </c>
    </row>
    <row r="10" spans="1:7" ht="15.75" x14ac:dyDescent="0.25">
      <c r="A10" s="22" t="s">
        <v>49</v>
      </c>
      <c r="B10" s="23">
        <f>AVERAGE(B2:B6)</f>
        <v>2.93</v>
      </c>
      <c r="C10" s="23">
        <f t="shared" ref="C10:G10" si="7">AVERAGE(C2:C6)</f>
        <v>1.0255000000000001</v>
      </c>
      <c r="D10" s="23">
        <f t="shared" si="7"/>
        <v>3.9554999999999993</v>
      </c>
      <c r="E10" s="24">
        <f t="shared" si="7"/>
        <v>280.60000000000002</v>
      </c>
      <c r="F10" s="23">
        <f t="shared" si="7"/>
        <v>1249.2225000000001</v>
      </c>
      <c r="G10" s="23">
        <f t="shared" si="7"/>
        <v>323.8725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E38F-5EA8-428B-BA1A-2E160C9BD6E0}">
  <dimension ref="A1:G10"/>
  <sheetViews>
    <sheetView workbookViewId="0">
      <selection activeCell="D16" sqref="D16"/>
    </sheetView>
  </sheetViews>
  <sheetFormatPr defaultRowHeight="15" x14ac:dyDescent="0.25"/>
  <cols>
    <col min="1" max="1" width="6" bestFit="1" customWidth="1"/>
    <col min="2" max="2" width="13.42578125" bestFit="1" customWidth="1"/>
    <col min="3" max="3" width="13.7109375" bestFit="1" customWidth="1"/>
    <col min="4" max="4" width="9.5703125" bestFit="1" customWidth="1"/>
    <col min="5" max="6" width="9.28515625" bestFit="1" customWidth="1"/>
    <col min="7" max="7" width="9.7109375" bestFit="1" customWidth="1"/>
  </cols>
  <sheetData>
    <row r="1" spans="1:7" ht="47.25" x14ac:dyDescent="0.25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</row>
    <row r="2" spans="1:7" ht="25.5" x14ac:dyDescent="0.25">
      <c r="A2" s="16" t="s">
        <v>41</v>
      </c>
      <c r="B2" s="17">
        <v>3.75</v>
      </c>
      <c r="C2" s="17">
        <f>B2*35/100</f>
        <v>1.3125</v>
      </c>
      <c r="D2" s="17">
        <f>SUM(B2:C2)</f>
        <v>5.0625</v>
      </c>
      <c r="E2" s="16">
        <v>234</v>
      </c>
      <c r="F2" s="18">
        <f>D2*E2</f>
        <v>1184.625</v>
      </c>
      <c r="G2" s="18">
        <f>F2-B2*E2</f>
        <v>307.125</v>
      </c>
    </row>
    <row r="3" spans="1:7" ht="25.5" x14ac:dyDescent="0.25">
      <c r="A3" s="16" t="s">
        <v>42</v>
      </c>
      <c r="B3" s="17">
        <v>3.65</v>
      </c>
      <c r="C3" s="17">
        <f t="shared" ref="C3:C6" si="0">B3*35/100</f>
        <v>1.2775000000000001</v>
      </c>
      <c r="D3" s="17">
        <f t="shared" ref="D3:D6" si="1">SUM(B3:C3)</f>
        <v>4.9275000000000002</v>
      </c>
      <c r="E3" s="16">
        <v>345</v>
      </c>
      <c r="F3" s="18">
        <f t="shared" ref="F3:F6" si="2">D3*E3</f>
        <v>1699.9875000000002</v>
      </c>
      <c r="G3" s="18">
        <f t="shared" ref="G3:G6" si="3">F3-B3*E3</f>
        <v>440.73750000000018</v>
      </c>
    </row>
    <row r="4" spans="1:7" x14ac:dyDescent="0.25">
      <c r="A4" s="16" t="s">
        <v>43</v>
      </c>
      <c r="B4" s="17">
        <v>4.25</v>
      </c>
      <c r="C4" s="17">
        <f t="shared" si="0"/>
        <v>1.4875</v>
      </c>
      <c r="D4" s="17">
        <f t="shared" si="1"/>
        <v>5.7374999999999998</v>
      </c>
      <c r="E4" s="16">
        <v>456</v>
      </c>
      <c r="F4" s="18">
        <f t="shared" si="2"/>
        <v>2616.2999999999997</v>
      </c>
      <c r="G4" s="18">
        <f t="shared" si="3"/>
        <v>678.29999999999973</v>
      </c>
    </row>
    <row r="5" spans="1:7" ht="27" customHeight="1" x14ac:dyDescent="0.25">
      <c r="A5" s="16" t="s">
        <v>44</v>
      </c>
      <c r="B5" s="17">
        <v>1.5</v>
      </c>
      <c r="C5" s="17">
        <f t="shared" si="0"/>
        <v>0.52500000000000002</v>
      </c>
      <c r="D5" s="17">
        <f t="shared" si="1"/>
        <v>2.0249999999999999</v>
      </c>
      <c r="E5" s="16">
        <v>123</v>
      </c>
      <c r="F5" s="18">
        <f t="shared" si="2"/>
        <v>249.07499999999999</v>
      </c>
      <c r="G5" s="18">
        <f t="shared" si="3"/>
        <v>64.574999999999989</v>
      </c>
    </row>
    <row r="6" spans="1:7" ht="31.9" customHeight="1" x14ac:dyDescent="0.25">
      <c r="A6" s="16" t="s">
        <v>45</v>
      </c>
      <c r="B6" s="17">
        <v>1.5</v>
      </c>
      <c r="C6" s="17">
        <f t="shared" si="0"/>
        <v>0.52500000000000002</v>
      </c>
      <c r="D6" s="17">
        <f t="shared" si="1"/>
        <v>2.0249999999999999</v>
      </c>
      <c r="E6" s="16">
        <v>245</v>
      </c>
      <c r="F6" s="18">
        <f t="shared" si="2"/>
        <v>496.125</v>
      </c>
      <c r="G6" s="18">
        <f t="shared" si="3"/>
        <v>128.625</v>
      </c>
    </row>
    <row r="7" spans="1:7" ht="16.149999999999999" customHeight="1" x14ac:dyDescent="0.25">
      <c r="A7" s="13" t="s">
        <v>46</v>
      </c>
      <c r="B7" s="14">
        <f>SUM(B2:B6)</f>
        <v>14.65</v>
      </c>
      <c r="C7" s="14">
        <f t="shared" ref="C7:G7" si="4">SUM(C2:C6)</f>
        <v>5.1275000000000004</v>
      </c>
      <c r="D7" s="14">
        <f t="shared" si="4"/>
        <v>19.777499999999996</v>
      </c>
      <c r="E7" s="13">
        <f t="shared" si="4"/>
        <v>1403</v>
      </c>
      <c r="F7" s="14">
        <f t="shared" si="4"/>
        <v>6246.1125000000002</v>
      </c>
      <c r="G7" s="14">
        <f t="shared" si="4"/>
        <v>1619.3625</v>
      </c>
    </row>
    <row r="8" spans="1:7" ht="25.9" customHeight="1" x14ac:dyDescent="0.25">
      <c r="A8" s="13" t="s">
        <v>47</v>
      </c>
      <c r="B8" s="13">
        <f>LARGE(B2:B6,1)</f>
        <v>4.25</v>
      </c>
      <c r="C8" s="13">
        <f t="shared" ref="C8:G8" si="5">LARGE(C2:C6,1)</f>
        <v>1.4875</v>
      </c>
      <c r="D8" s="13">
        <f t="shared" si="5"/>
        <v>5.7374999999999998</v>
      </c>
      <c r="E8" s="13">
        <f t="shared" si="5"/>
        <v>456</v>
      </c>
      <c r="F8" s="13">
        <f t="shared" si="5"/>
        <v>2616.2999999999997</v>
      </c>
      <c r="G8" s="13">
        <f t="shared" si="5"/>
        <v>678.29999999999973</v>
      </c>
    </row>
    <row r="9" spans="1:7" ht="22.15" customHeight="1" x14ac:dyDescent="0.25">
      <c r="A9" s="13" t="s">
        <v>48</v>
      </c>
      <c r="B9" s="14">
        <f>MIN(B2:B6)</f>
        <v>1.5</v>
      </c>
      <c r="C9" s="14">
        <f t="shared" ref="C9:G9" si="6">MIN(C2:C6)</f>
        <v>0.52500000000000002</v>
      </c>
      <c r="D9" s="14">
        <f t="shared" si="6"/>
        <v>2.0249999999999999</v>
      </c>
      <c r="E9" s="13">
        <f t="shared" si="6"/>
        <v>123</v>
      </c>
      <c r="F9" s="14">
        <f t="shared" si="6"/>
        <v>249.07499999999999</v>
      </c>
      <c r="G9" s="14">
        <f t="shared" si="6"/>
        <v>64.574999999999989</v>
      </c>
    </row>
    <row r="10" spans="1:7" ht="15.75" x14ac:dyDescent="0.25">
      <c r="A10" s="22" t="s">
        <v>49</v>
      </c>
      <c r="B10" s="23">
        <f>AVERAGE(B2:B6)</f>
        <v>2.93</v>
      </c>
      <c r="C10" s="23">
        <f t="shared" ref="C10:G10" si="7">AVERAGE(C2:C6)</f>
        <v>1.0255000000000001</v>
      </c>
      <c r="D10" s="23">
        <f t="shared" si="7"/>
        <v>3.9554999999999993</v>
      </c>
      <c r="E10" s="24">
        <f t="shared" si="7"/>
        <v>280.60000000000002</v>
      </c>
      <c r="F10" s="23">
        <f t="shared" si="7"/>
        <v>1249.2225000000001</v>
      </c>
      <c r="G10" s="23">
        <f t="shared" si="7"/>
        <v>323.8725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Sanuber .</dc:creator>
  <cp:lastModifiedBy>Mohammad Perwez Alam</cp:lastModifiedBy>
  <cp:lastPrinted>2025-08-01T20:18:12Z</cp:lastPrinted>
  <dcterms:created xsi:type="dcterms:W3CDTF">2025-08-01T17:11:29Z</dcterms:created>
  <dcterms:modified xsi:type="dcterms:W3CDTF">2025-08-27T06:06:54Z</dcterms:modified>
</cp:coreProperties>
</file>